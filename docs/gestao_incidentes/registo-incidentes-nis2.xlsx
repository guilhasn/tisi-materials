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Incidentes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Notifica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E3A8A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  <fill>
      <patternFill patternType="solid">
        <fgColor rgb="00E5E7EB"/>
        <bgColor rgb="00E5E7EB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ECACA"/>
          <bgColor rgb="00FECACA"/>
        </patternFill>
      </fill>
    </dxf>
    <dxf>
      <fill>
        <patternFill patternType="solid">
          <fgColor rgb="00FED7AA"/>
          <bgColor rgb="00FED7AA"/>
        </patternFill>
      </fill>
    </dxf>
    <dxf>
      <fill>
        <patternFill patternType="solid">
          <fgColor rgb="00FEF3C7"/>
          <bgColor rgb="00FEF3C7"/>
        </patternFill>
      </fill>
    </dxf>
    <dxf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1" t="inlineStr">
        <is>
          <t>Registo de Incidentes NIS2 — Art. 23.º DL 125/2025 | Instruções</t>
        </is>
      </c>
    </row>
    <row r="2" ht="18" customHeight="1">
      <c r="A2" s="2" t="inlineStr">
        <is>
          <t>Objetivo:  Registar, acompanhar e reportar todos os incidentes de cibersegurança relevantes, cumprindo os prazos legais do DL 125/2025 (NIS2) e os procedimentos SANS de resposta a incidentes.</t>
        </is>
      </c>
    </row>
    <row r="3" ht="18" customHeight="1">
      <c r="A3" s="3" t="inlineStr"/>
    </row>
    <row r="4" ht="18" customHeight="1">
      <c r="A4" s="2" t="inlineStr">
        <is>
          <t xml:space="preserve">Prazos legais (Art. 23.º DL 125/2025):  </t>
        </is>
      </c>
    </row>
    <row r="5" ht="18" customHeight="1">
      <c r="A5" s="3" t="inlineStr">
        <is>
          <t>24 horas — Notificação prévia ao CNCS (Centro Nacional de Cibersegurança) após deteção de incidente significativo</t>
        </is>
      </c>
    </row>
    <row r="6" ht="18" customHeight="1">
      <c r="A6" s="3" t="inlineStr">
        <is>
          <t>72 horas — Notificação atualizada com detalhes adicionais ao CNCS</t>
        </is>
      </c>
    </row>
    <row r="7" ht="18" customHeight="1">
      <c r="A7" s="3" t="inlineStr">
        <is>
          <t>30 dias — Relatório final ao CNCS com análise completa, impacto e medidas tomadas</t>
        </is>
      </c>
    </row>
    <row r="8" ht="18" customHeight="1">
      <c r="A8" s="3" t="inlineStr">
        <is>
          <t>72 horas — Notificação à CNPD se houver violação de dados pessoais (Art. 33.º RGPD)</t>
        </is>
      </c>
    </row>
    <row r="9" ht="18" customHeight="1">
      <c r="A9" s="3" t="inlineStr"/>
    </row>
    <row r="10" ht="18" customHeight="1">
      <c r="A10" s="2" t="inlineStr">
        <is>
          <t xml:space="preserve">Severidade (SANS):  </t>
        </is>
      </c>
    </row>
    <row r="11" ht="18" customHeight="1">
      <c r="A11" s="3" t="inlineStr">
        <is>
          <t>crítico — Paragem completa de operações críticas, exfiltração de dados, ransomware ativo</t>
        </is>
      </c>
    </row>
    <row r="12" ht="18" customHeight="1">
      <c r="A12" s="3" t="inlineStr">
        <is>
          <t>alto — Impacto significativo em sistemas importantes, propagação ativa</t>
        </is>
      </c>
    </row>
    <row r="13" ht="18" customHeight="1">
      <c r="A13" s="3" t="inlineStr">
        <is>
          <t>médio — Incidente contido, impacto moderado, sem exfiltração confirmada</t>
        </is>
      </c>
    </row>
    <row r="14" ht="18" customHeight="1">
      <c r="A14" s="3" t="inlineStr">
        <is>
          <t>baixo — Tentativa falhada ou incidente de impacto negligenciável</t>
        </is>
      </c>
    </row>
    <row r="15" ht="18" customHeight="1">
      <c r="A15" s="3" t="inlineStr"/>
    </row>
    <row r="16" ht="18" customHeight="1">
      <c r="A16" s="2" t="inlineStr">
        <is>
          <t xml:space="preserve">Categorias:  </t>
        </is>
      </c>
    </row>
    <row r="17" ht="18" customHeight="1">
      <c r="A17" s="3" t="inlineStr">
        <is>
          <t>malware — Vírus, ransomware, spyware, trojan</t>
        </is>
      </c>
    </row>
    <row r="18" ht="18" customHeight="1">
      <c r="A18" s="3" t="inlineStr">
        <is>
          <t>intrusão — Acesso não autorizado, escalada de privilégios</t>
        </is>
      </c>
    </row>
    <row r="19" ht="18" customHeight="1">
      <c r="A19" s="3" t="inlineStr">
        <is>
          <t>DDoS — Ataque de negação de serviço distribuído</t>
        </is>
      </c>
    </row>
    <row r="20" ht="18" customHeight="1">
      <c r="A20" s="3" t="inlineStr">
        <is>
          <t>phishing — Engenharia social, spear-phishing, BEC</t>
        </is>
      </c>
    </row>
    <row r="21" ht="18" customHeight="1">
      <c r="A21" s="3" t="inlineStr">
        <is>
          <t>insider — Ameaça interna, acesso abusivo de colaborador</t>
        </is>
      </c>
    </row>
    <row r="22" ht="18" customHeight="1">
      <c r="A22" s="3" t="inlineStr">
        <is>
          <t>supply-chain — Comprometimento via fornecedor ou software de terceiros</t>
        </is>
      </c>
    </row>
    <row r="23" ht="18" customHeight="1">
      <c r="A23" s="3" t="inlineStr">
        <is>
          <t>outro — Incidentes não categorizados nas classes anteriores</t>
        </is>
      </c>
    </row>
    <row r="24" ht="18" customHeight="1">
      <c r="A24" s="3" t="inlineStr"/>
    </row>
    <row r="25" ht="18" customHeight="1">
      <c r="A25" s="2" t="inlineStr">
        <is>
          <t xml:space="preserve">Fases de resposta (NIST SP 800-61):  </t>
        </is>
      </c>
    </row>
    <row r="26" ht="18" customHeight="1">
      <c r="A26" s="3" t="inlineStr">
        <is>
          <t>1. Deteção e análise  2. Contenção  3. Erradicação  4. Recuperação  5. Pós-incidente</t>
        </is>
      </c>
    </row>
    <row r="27" ht="18" customHeight="1">
      <c r="A27" s="3" t="inlineStr"/>
    </row>
    <row r="28" ht="18" customHeight="1">
      <c r="A28" s="2" t="inlineStr">
        <is>
          <t>Notificação CNCS:  https://www.cncs.gov.pt/pt/reportar-incidente/ — Plataforma de reporte online</t>
        </is>
      </c>
    </row>
    <row r="29" ht="18" customHeight="1">
      <c r="A29" s="2" t="inlineStr">
        <is>
          <t>Versão:  1.0 — Abril 2026 | Base legal: DL 125/2025 (transpõe Diretiva NIS2 2022/2555)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13" customWidth="1" min="5" max="5"/>
    <col width="12" customWidth="1" min="6" max="6"/>
    <col width="18" customWidth="1" min="7" max="7"/>
    <col width="18" customWidth="1" min="8" max="8"/>
    <col width="16" customWidth="1" min="9" max="9"/>
    <col width="14" customWidth="1" min="10" max="10"/>
    <col width="14" customWidth="1" min="11" max="11"/>
    <col width="12" customWidth="1" min="12" max="12"/>
    <col width="13" customWidth="1" min="13" max="13"/>
    <col width="18" customWidth="1" min="14" max="14"/>
    <col width="12" customWidth="1" min="15" max="15"/>
    <col width="24" customWidth="1" min="16" max="16"/>
    <col width="30" customWidth="1" min="17" max="17"/>
    <col width="16" customWidth="1" min="18" max="18"/>
  </cols>
  <sheetData>
    <row r="1" ht="34" customHeight="1">
      <c r="A1" s="1" t="inlineStr">
        <is>
          <t>Registo de Incidentes NIS2 — Art. 23.º DL 125/2025</t>
        </is>
      </c>
    </row>
    <row r="2" ht="26" customHeight="1">
      <c r="A2" s="4" t="inlineStr">
        <is>
          <t>ID Incidente</t>
        </is>
      </c>
      <c r="B2" s="4" t="inlineStr">
        <is>
          <t>Data Detecção</t>
        </is>
      </c>
      <c r="C2" s="4" t="inlineStr">
        <is>
          <t>Data Início Estimada</t>
        </is>
      </c>
      <c r="D2" s="4" t="inlineStr">
        <is>
          <t>Descrição</t>
        </is>
      </c>
      <c r="E2" s="4" t="inlineStr">
        <is>
          <t>Categoria</t>
        </is>
      </c>
      <c r="F2" s="4" t="inlineStr">
        <is>
          <t>Severidade</t>
        </is>
      </c>
      <c r="G2" s="4" t="inlineStr">
        <is>
          <t>Sistema Afetado</t>
        </is>
      </c>
      <c r="H2" s="4" t="inlineStr">
        <is>
          <t>Vetor de Ataque</t>
        </is>
      </c>
      <c r="I2" s="4" t="inlineStr">
        <is>
          <t>Impacto C/I/A/DP</t>
        </is>
      </c>
      <c r="J2" s="4" t="inlineStr">
        <is>
          <t>Notif. CNCS (S/N)</t>
        </is>
      </c>
      <c r="K2" s="4" t="inlineStr">
        <is>
          <t>Prazo CNCS 24h</t>
        </is>
      </c>
      <c r="L2" s="4" t="inlineStr">
        <is>
          <t>Notif. CNPD</t>
        </is>
      </c>
      <c r="M2" s="4" t="inlineStr">
        <is>
          <t>Estado</t>
        </is>
      </c>
      <c r="N2" s="4" t="inlineStr">
        <is>
          <t>IC Responsável</t>
        </is>
      </c>
      <c r="O2" s="4" t="inlineStr">
        <is>
          <t>MTTR (horas)</t>
        </is>
      </c>
      <c r="P2" s="4" t="inlineStr">
        <is>
          <t>Causa Raiz</t>
        </is>
      </c>
      <c r="Q2" s="4" t="inlineStr">
        <is>
          <t>Lições Aprendidas</t>
        </is>
      </c>
      <c r="R2" s="4" t="inlineStr">
        <is>
          <t>Custo Estimado (€)</t>
        </is>
      </c>
    </row>
    <row r="3" ht="18" customHeight="1">
      <c r="A3" s="5" t="inlineStr">
        <is>
          <t>INC-2026-001</t>
        </is>
      </c>
      <c r="B3" s="5" t="inlineStr">
        <is>
          <t>2026-01-05</t>
        </is>
      </c>
      <c r="C3" s="5" t="inlineStr">
        <is>
          <t>2026-01-04</t>
        </is>
      </c>
      <c r="D3" s="5" t="inlineStr">
        <is>
          <t>Ransomware LockBit detetado em servidor de ficheiros — 3 VMs cifradas</t>
        </is>
      </c>
      <c r="E3" s="5" t="inlineStr">
        <is>
          <t>malware</t>
        </is>
      </c>
      <c r="F3" s="5" t="inlineStr">
        <is>
          <t>crítico</t>
        </is>
      </c>
      <c r="G3" s="5" t="inlineStr">
        <is>
          <t>Servidor ficheiros — FS01</t>
        </is>
      </c>
      <c r="H3" s="5" t="inlineStr">
        <is>
          <t>Email phishing com anexo macro</t>
        </is>
      </c>
      <c r="I3" s="5" t="inlineStr">
        <is>
          <t>C:4 I:4 A:4 DP:Sim</t>
        </is>
      </c>
      <c r="J3" s="5" t="inlineStr">
        <is>
          <t>Sim</t>
        </is>
      </c>
      <c r="K3" s="5" t="inlineStr">
        <is>
          <t>2026-01-06</t>
        </is>
      </c>
      <c r="L3" s="5" t="inlineStr">
        <is>
          <t>Sim</t>
        </is>
      </c>
      <c r="M3" s="5" t="inlineStr">
        <is>
          <t>fechado</t>
        </is>
      </c>
      <c r="N3" s="5" t="inlineStr">
        <is>
          <t>Ana Ferreira</t>
        </is>
      </c>
      <c r="O3" s="5" t="n">
        <v>72</v>
      </c>
      <c r="P3" s="5" t="inlineStr">
        <is>
          <t>Ausência de segmentação de rede e backup offline</t>
        </is>
      </c>
      <c r="Q3" s="5" t="inlineStr">
        <is>
          <t>Implementar VLAN isolada; reforçar backup imutável; treino anti-phishing</t>
        </is>
      </c>
      <c r="R3" s="5" t="inlineStr">
        <is>
          <t>285000</t>
        </is>
      </c>
    </row>
    <row r="4" ht="18" customHeight="1">
      <c r="A4" s="6" t="inlineStr">
        <is>
          <t>INC-2026-002</t>
        </is>
      </c>
      <c r="B4" s="6" t="inlineStr">
        <is>
          <t>2026-01-18</t>
        </is>
      </c>
      <c r="C4" s="6" t="inlineStr">
        <is>
          <t>2026-01-18</t>
        </is>
      </c>
      <c r="D4" s="6" t="inlineStr">
        <is>
          <t>Tentativa de acesso ao painel admin ERP com credenciais comprometidas</t>
        </is>
      </c>
      <c r="E4" s="6" t="inlineStr">
        <is>
          <t>intrusão</t>
        </is>
      </c>
      <c r="F4" s="6" t="inlineStr">
        <is>
          <t>alto</t>
        </is>
      </c>
      <c r="G4" s="6" t="inlineStr">
        <is>
          <t>ERP SAP — Produção</t>
        </is>
      </c>
      <c r="H4" s="6" t="inlineStr">
        <is>
          <t>Credential stuffing via Internet</t>
        </is>
      </c>
      <c r="I4" s="6" t="inlineStr">
        <is>
          <t>C:3 I:2 A:1 DP:Não</t>
        </is>
      </c>
      <c r="J4" s="6" t="inlineStr">
        <is>
          <t>Sim</t>
        </is>
      </c>
      <c r="K4" s="6" t="inlineStr">
        <is>
          <t>2026-01-19</t>
        </is>
      </c>
      <c r="L4" s="6" t="inlineStr">
        <is>
          <t>Não</t>
        </is>
      </c>
      <c r="M4" s="6" t="inlineStr">
        <is>
          <t>fechado</t>
        </is>
      </c>
      <c r="N4" s="6" t="inlineStr">
        <is>
          <t>Bruno Carvalho</t>
        </is>
      </c>
      <c r="O4" s="6" t="n">
        <v>8</v>
      </c>
      <c r="P4" s="6" t="inlineStr">
        <is>
          <t>Reutilização de passwords em serviços externos</t>
        </is>
      </c>
      <c r="Q4" s="6" t="inlineStr">
        <is>
          <t>Forçar política de passwords únicas; MFA em todos os sistemas ERP</t>
        </is>
      </c>
      <c r="R4" s="6" t="inlineStr">
        <is>
          <t>4500</t>
        </is>
      </c>
    </row>
    <row r="5" ht="18" customHeight="1">
      <c r="A5" s="5" t="inlineStr">
        <is>
          <t>INC-2026-003</t>
        </is>
      </c>
      <c r="B5" s="5" t="inlineStr">
        <is>
          <t>2026-01-25</t>
        </is>
      </c>
      <c r="C5" s="5" t="inlineStr">
        <is>
          <t>2026-01-25</t>
        </is>
      </c>
      <c r="D5" s="5" t="inlineStr">
        <is>
          <t>DDoS volumétrico — 18 Gbps — contra portal clientes (4h de indisponibilidade)</t>
        </is>
      </c>
      <c r="E5" s="5" t="inlineStr">
        <is>
          <t>DDoS</t>
        </is>
      </c>
      <c r="F5" s="5" t="inlineStr">
        <is>
          <t>alto</t>
        </is>
      </c>
      <c r="G5" s="5" t="inlineStr">
        <is>
          <t>Portal clientes — público</t>
        </is>
      </c>
      <c r="H5" s="5" t="inlineStr">
        <is>
          <t>Botnet Mirai</t>
        </is>
      </c>
      <c r="I5" s="5" t="inlineStr">
        <is>
          <t>C:1 I:1 A:4 DP:Não</t>
        </is>
      </c>
      <c r="J5" s="5" t="inlineStr">
        <is>
          <t>Sim</t>
        </is>
      </c>
      <c r="K5" s="5" t="inlineStr">
        <is>
          <t>2026-01-26</t>
        </is>
      </c>
      <c r="L5" s="5" t="inlineStr">
        <is>
          <t>Não</t>
        </is>
      </c>
      <c r="M5" s="5" t="inlineStr">
        <is>
          <t>fechado</t>
        </is>
      </c>
      <c r="N5" s="5" t="inlineStr">
        <is>
          <t>Carlos Silva</t>
        </is>
      </c>
      <c r="O5" s="5" t="n">
        <v>4</v>
      </c>
      <c r="P5" s="5" t="inlineStr">
        <is>
          <t>Ausência de proteção DDoS no datacenter</t>
        </is>
      </c>
      <c r="Q5" s="5" t="inlineStr">
        <is>
          <t>Contratar Cloudflare DDoS mitigation; SLA com ISP para blackholing</t>
        </is>
      </c>
      <c r="R5" s="5" t="inlineStr">
        <is>
          <t>12000</t>
        </is>
      </c>
    </row>
    <row r="6" ht="18" customHeight="1">
      <c r="A6" s="6" t="inlineStr">
        <is>
          <t>INC-2026-004</t>
        </is>
      </c>
      <c r="B6" s="6" t="inlineStr">
        <is>
          <t>2026-02-02</t>
        </is>
      </c>
      <c r="C6" s="6" t="inlineStr">
        <is>
          <t>2026-02-01</t>
        </is>
      </c>
      <c r="D6" s="6" t="inlineStr">
        <is>
          <t>Phishing direcionado ao CFO — tentativa BEC para transferência 150k€</t>
        </is>
      </c>
      <c r="E6" s="6" t="inlineStr">
        <is>
          <t>phishing</t>
        </is>
      </c>
      <c r="F6" s="6" t="inlineStr">
        <is>
          <t>crítico</t>
        </is>
      </c>
      <c r="G6" s="6" t="inlineStr">
        <is>
          <t>Email corporativo CFO</t>
        </is>
      </c>
      <c r="H6" s="6" t="inlineStr">
        <is>
          <t>Spear-phishing BEC</t>
        </is>
      </c>
      <c r="I6" s="6" t="inlineStr">
        <is>
          <t>C:3 I:2 A:1 DP:Não</t>
        </is>
      </c>
      <c r="J6" s="6" t="inlineStr">
        <is>
          <t>Sim</t>
        </is>
      </c>
      <c r="K6" s="6" t="inlineStr">
        <is>
          <t>2026-02-03</t>
        </is>
      </c>
      <c r="L6" s="6" t="inlineStr">
        <is>
          <t>Não</t>
        </is>
      </c>
      <c r="M6" s="6" t="inlineStr">
        <is>
          <t>fechado</t>
        </is>
      </c>
      <c r="N6" s="6" t="inlineStr">
        <is>
          <t>Ana Ferreira</t>
        </is>
      </c>
      <c r="O6" s="6" t="n">
        <v>2</v>
      </c>
      <c r="P6" s="6" t="inlineStr">
        <is>
          <t>Ausência de verificação out-of-band para transferências</t>
        </is>
      </c>
      <c r="Q6" s="6" t="inlineStr">
        <is>
          <t>Implementar processo dual-approval; treino executivo; DMARC enforcement</t>
        </is>
      </c>
      <c r="R6" s="6" t="inlineStr">
        <is>
          <t>0</t>
        </is>
      </c>
    </row>
    <row r="7" ht="18" customHeight="1">
      <c r="A7" s="5" t="inlineStr">
        <is>
          <t>INC-2026-005</t>
        </is>
      </c>
      <c r="B7" s="5" t="inlineStr">
        <is>
          <t>2026-02-10</t>
        </is>
      </c>
      <c r="C7" s="5" t="inlineStr">
        <is>
          <t>2026-02-05</t>
        </is>
      </c>
      <c r="D7" s="5" t="inlineStr">
        <is>
          <t>Exfiltração de dados de clientes por colaborador em saída — 2.400 registos</t>
        </is>
      </c>
      <c r="E7" s="5" t="inlineStr">
        <is>
          <t>insider</t>
        </is>
      </c>
      <c r="F7" s="5" t="inlineStr">
        <is>
          <t>crítico</t>
        </is>
      </c>
      <c r="G7" s="5" t="inlineStr">
        <is>
          <t>CRM Salesforce — dados clientes</t>
        </is>
      </c>
      <c r="H7" s="5" t="inlineStr">
        <is>
          <t>Acesso legítimo com intenção maliciosa</t>
        </is>
      </c>
      <c r="I7" s="5" t="inlineStr">
        <is>
          <t>C:4 I:2 A:1 DP:Sim</t>
        </is>
      </c>
      <c r="J7" s="5" t="inlineStr">
        <is>
          <t>Sim</t>
        </is>
      </c>
      <c r="K7" s="5" t="inlineStr">
        <is>
          <t>2026-02-11</t>
        </is>
      </c>
      <c r="L7" s="5" t="inlineStr">
        <is>
          <t>Sim</t>
        </is>
      </c>
      <c r="M7" s="5" t="inlineStr">
        <is>
          <t>fechado</t>
        </is>
      </c>
      <c r="N7" s="5" t="inlineStr">
        <is>
          <t>Dora Mendes</t>
        </is>
      </c>
      <c r="O7" s="5" t="n">
        <v>24</v>
      </c>
      <c r="P7" s="5" t="inlineStr">
        <is>
          <t>Ausência de DLP e monitorização de transferências em volume</t>
        </is>
      </c>
      <c r="Q7" s="5" t="inlineStr">
        <is>
          <t>DLP Salesforce ativo; alertas de exportação &gt;100 registos; offboarding rápido</t>
        </is>
      </c>
      <c r="R7" s="5" t="inlineStr">
        <is>
          <t>95000</t>
        </is>
      </c>
    </row>
    <row r="8" ht="18" customHeight="1">
      <c r="A8" s="6" t="inlineStr">
        <is>
          <t>INC-2026-006</t>
        </is>
      </c>
      <c r="B8" s="6" t="inlineStr">
        <is>
          <t>2026-02-20</t>
        </is>
      </c>
      <c r="C8" s="6" t="inlineStr">
        <is>
          <t>2026-02-20</t>
        </is>
      </c>
      <c r="D8" s="6" t="inlineStr">
        <is>
          <t>Update SolarWinds trojanizado descoberto em ambiente de monitorização</t>
        </is>
      </c>
      <c r="E8" s="6" t="inlineStr">
        <is>
          <t>supply-chain</t>
        </is>
      </c>
      <c r="F8" s="6" t="inlineStr">
        <is>
          <t>crítico</t>
        </is>
      </c>
      <c r="G8" s="6" t="inlineStr">
        <is>
          <t>SIEM Splunk — colector</t>
        </is>
      </c>
      <c r="H8" s="6" t="inlineStr">
        <is>
          <t>Supply chain — software comprometido</t>
        </is>
      </c>
      <c r="I8" s="6" t="inlineStr">
        <is>
          <t>C:3 I:3 A:2 DP:Não</t>
        </is>
      </c>
      <c r="J8" s="6" t="inlineStr">
        <is>
          <t>Sim</t>
        </is>
      </c>
      <c r="K8" s="6" t="inlineStr">
        <is>
          <t>2026-02-21</t>
        </is>
      </c>
      <c r="L8" s="6" t="inlineStr">
        <is>
          <t>Não</t>
        </is>
      </c>
      <c r="M8" s="6" t="inlineStr">
        <is>
          <t>fechado</t>
        </is>
      </c>
      <c r="N8" s="6" t="inlineStr">
        <is>
          <t>Bruno Carvalho</t>
        </is>
      </c>
      <c r="O8" s="6" t="n">
        <v>48</v>
      </c>
      <c r="P8" s="6" t="inlineStr">
        <is>
          <t>Ausência de verificação de integridade de software de terceiros</t>
        </is>
      </c>
      <c r="Q8" s="6" t="inlineStr">
        <is>
          <t>Verificação hash obrigatória; inventário componentes software (SBOM)</t>
        </is>
      </c>
      <c r="R8" s="6" t="inlineStr">
        <is>
          <t>18000</t>
        </is>
      </c>
    </row>
    <row r="9" ht="18" customHeight="1">
      <c r="A9" s="5" t="inlineStr">
        <is>
          <t>INC-2026-007</t>
        </is>
      </c>
      <c r="B9" s="5" t="inlineStr">
        <is>
          <t>2026-03-03</t>
        </is>
      </c>
      <c r="C9" s="5" t="inlineStr">
        <is>
          <t>2026-03-02</t>
        </is>
      </c>
      <c r="D9" s="5" t="inlineStr">
        <is>
          <t>Acesso não autorizado a VPN com conta de serviço desativada</t>
        </is>
      </c>
      <c r="E9" s="5" t="inlineStr">
        <is>
          <t>intrusão</t>
        </is>
      </c>
      <c r="F9" s="5" t="inlineStr">
        <is>
          <t>médio</t>
        </is>
      </c>
      <c r="G9" s="5" t="inlineStr">
        <is>
          <t>VPN Fortinet</t>
        </is>
      </c>
      <c r="H9" s="5" t="inlineStr">
        <is>
          <t>Conta de serviço não revogada</t>
        </is>
      </c>
      <c r="I9" s="5" t="inlineStr">
        <is>
          <t>C:2 I:1 A:1 DP:Não</t>
        </is>
      </c>
      <c r="J9" s="5" t="inlineStr">
        <is>
          <t>Não</t>
        </is>
      </c>
      <c r="K9" s="5" t="inlineStr"/>
      <c r="L9" s="5" t="inlineStr">
        <is>
          <t>Não</t>
        </is>
      </c>
      <c r="M9" s="5" t="inlineStr">
        <is>
          <t>fechado</t>
        </is>
      </c>
      <c r="N9" s="5" t="inlineStr">
        <is>
          <t>Carlos Silva</t>
        </is>
      </c>
      <c r="O9" s="5" t="n">
        <v>3</v>
      </c>
      <c r="P9" s="5" t="inlineStr">
        <is>
          <t>Falha no processo de offboarding de conta técnica</t>
        </is>
      </c>
      <c r="Q9" s="5" t="inlineStr">
        <is>
          <t>Automatizar revogação contas serviço; revisão trimestral contas privilegiadas</t>
        </is>
      </c>
      <c r="R9" s="5" t="inlineStr">
        <is>
          <t>800</t>
        </is>
      </c>
    </row>
    <row r="10" ht="18" customHeight="1">
      <c r="A10" s="6" t="inlineStr">
        <is>
          <t>INC-2026-008</t>
        </is>
      </c>
      <c r="B10" s="6" t="inlineStr">
        <is>
          <t>2026-03-12</t>
        </is>
      </c>
      <c r="C10" s="6" t="inlineStr">
        <is>
          <t>2026-03-10</t>
        </is>
      </c>
      <c r="D10" s="6" t="inlineStr">
        <is>
          <t>Malware infostealer em workstation RH — dados pessoais potencialmente expostos</t>
        </is>
      </c>
      <c r="E10" s="6" t="inlineStr">
        <is>
          <t>malware</t>
        </is>
      </c>
      <c r="F10" s="6" t="inlineStr">
        <is>
          <t>alto</t>
        </is>
      </c>
      <c r="G10" s="6" t="inlineStr">
        <is>
          <t>Workstation RH-WS-04</t>
        </is>
      </c>
      <c r="H10" s="6" t="inlineStr">
        <is>
          <t>Download não autorizado de software</t>
        </is>
      </c>
      <c r="I10" s="6" t="inlineStr">
        <is>
          <t>C:4 I:2 A:2 DP:Sim</t>
        </is>
      </c>
      <c r="J10" s="6" t="inlineStr">
        <is>
          <t>Sim</t>
        </is>
      </c>
      <c r="K10" s="6" t="inlineStr">
        <is>
          <t>2026-03-13</t>
        </is>
      </c>
      <c r="L10" s="6" t="inlineStr">
        <is>
          <t>Sim</t>
        </is>
      </c>
      <c r="M10" s="6" t="inlineStr">
        <is>
          <t>fechado</t>
        </is>
      </c>
      <c r="N10" s="6" t="inlineStr">
        <is>
          <t>Dora Mendes</t>
        </is>
      </c>
      <c r="O10" s="6" t="n">
        <v>12</v>
      </c>
      <c r="P10" s="6" t="inlineStr">
        <is>
          <t>Ausência de restrição de downloads e execução de software não aprovado</t>
        </is>
      </c>
      <c r="Q10" s="6" t="inlineStr">
        <is>
          <t>Application whitelisting; bloqueio USB; EDR regras reforçadas</t>
        </is>
      </c>
      <c r="R10" s="6" t="inlineStr">
        <is>
          <t>22000</t>
        </is>
      </c>
    </row>
    <row r="11" ht="18" customHeight="1">
      <c r="A11" s="5" t="inlineStr">
        <is>
          <t>INC-2026-009</t>
        </is>
      </c>
      <c r="B11" s="5" t="inlineStr">
        <is>
          <t>2026-03-20</t>
        </is>
      </c>
      <c r="C11" s="5" t="inlineStr">
        <is>
          <t>2026-03-20</t>
        </is>
      </c>
      <c r="D11" s="5" t="inlineStr">
        <is>
          <t>Tentativa de SQL injection em API REST pública — bloqueada por WAF</t>
        </is>
      </c>
      <c r="E11" s="5" t="inlineStr">
        <is>
          <t>intrusão</t>
        </is>
      </c>
      <c r="F11" s="5" t="inlineStr">
        <is>
          <t>baixo</t>
        </is>
      </c>
      <c r="G11" s="5" t="inlineStr">
        <is>
          <t>API Gateway — pública</t>
        </is>
      </c>
      <c r="H11" s="5" t="inlineStr">
        <is>
          <t>SQL injection automatizado</t>
        </is>
      </c>
      <c r="I11" s="5" t="inlineStr">
        <is>
          <t>C:1 I:1 A:1 DP:Não</t>
        </is>
      </c>
      <c r="J11" s="5" t="inlineStr">
        <is>
          <t>Não</t>
        </is>
      </c>
      <c r="K11" s="5" t="inlineStr"/>
      <c r="L11" s="5" t="inlineStr">
        <is>
          <t>Não</t>
        </is>
      </c>
      <c r="M11" s="5" t="inlineStr">
        <is>
          <t>fechado</t>
        </is>
      </c>
      <c r="N11" s="5" t="inlineStr">
        <is>
          <t>Carlos Silva</t>
        </is>
      </c>
      <c r="O11" s="5" t="n">
        <v>0</v>
      </c>
      <c r="P11" s="5" t="inlineStr">
        <is>
          <t>Ausência de rate limiting agressivo na API</t>
        </is>
      </c>
      <c r="Q11" s="5" t="inlineStr">
        <is>
          <t>Rate limiting + CAPTCHA + regras WAF atualizadas</t>
        </is>
      </c>
      <c r="R11" s="5" t="inlineStr">
        <is>
          <t>200</t>
        </is>
      </c>
    </row>
    <row r="12" ht="18" customHeight="1">
      <c r="A12" s="6" t="inlineStr">
        <is>
          <t>INC-2026-010</t>
        </is>
      </c>
      <c r="B12" s="6" t="inlineStr">
        <is>
          <t>2026-04-01</t>
        </is>
      </c>
      <c r="C12" s="6" t="inlineStr">
        <is>
          <t>2026-04-01</t>
        </is>
      </c>
      <c r="D12" s="6" t="inlineStr">
        <is>
          <t>Expiração certificado SSL — indisponibilidade HTTPS portal durante 45 minutos</t>
        </is>
      </c>
      <c r="E12" s="6" t="inlineStr">
        <is>
          <t>outro</t>
        </is>
      </c>
      <c r="F12" s="6" t="inlineStr">
        <is>
          <t>médio</t>
        </is>
      </c>
      <c r="G12" s="6" t="inlineStr">
        <is>
          <t>Portal institucional</t>
        </is>
      </c>
      <c r="H12" s="6" t="inlineStr">
        <is>
          <t>Gestão deficiente de certificados</t>
        </is>
      </c>
      <c r="I12" s="6" t="inlineStr">
        <is>
          <t>C:1 I:1 A:3 DP:Não</t>
        </is>
      </c>
      <c r="J12" s="6" t="inlineStr">
        <is>
          <t>Não</t>
        </is>
      </c>
      <c r="K12" s="6" t="inlineStr"/>
      <c r="L12" s="6" t="inlineStr">
        <is>
          <t>Não</t>
        </is>
      </c>
      <c r="M12" s="6" t="inlineStr">
        <is>
          <t>fechado</t>
        </is>
      </c>
      <c r="N12" s="6" t="inlineStr">
        <is>
          <t>Bruno Carvalho</t>
        </is>
      </c>
      <c r="O12" s="6" t="n">
        <v>1</v>
      </c>
      <c r="P12" s="6" t="inlineStr">
        <is>
          <t>Ausência de monitorização e alertas automáticos de expiração</t>
        </is>
      </c>
      <c r="Q12" s="6" t="inlineStr">
        <is>
          <t>Plataforma gestão certificados com alertas 30/14/7 dias antes</t>
        </is>
      </c>
      <c r="R12" s="6" t="inlineStr">
        <is>
          <t>500</t>
        </is>
      </c>
    </row>
    <row r="13" ht="18" customHeight="1">
      <c r="A13" s="5" t="inlineStr">
        <is>
          <t>INC-2026-011</t>
        </is>
      </c>
      <c r="B13" s="5" t="inlineStr">
        <is>
          <t>2026-04-05</t>
        </is>
      </c>
      <c r="C13" s="5" t="inlineStr">
        <is>
          <t>2026-04-04</t>
        </is>
      </c>
      <c r="D13" s="5" t="inlineStr">
        <is>
          <t>Ransomware Clop em subsidiária — propagação bloqueada na firewall perimetral</t>
        </is>
      </c>
      <c r="E13" s="5" t="inlineStr">
        <is>
          <t>malware</t>
        </is>
      </c>
      <c r="F13" s="5" t="inlineStr">
        <is>
          <t>crítico</t>
        </is>
      </c>
      <c r="G13" s="5" t="inlineStr">
        <is>
          <t>Subsidiária Lisboa — rede isolada</t>
        </is>
      </c>
      <c r="H13" s="5" t="inlineStr">
        <is>
          <t>Email phishing</t>
        </is>
      </c>
      <c r="I13" s="5" t="inlineStr">
        <is>
          <t>C:3 I:4 A:4 DP:Não</t>
        </is>
      </c>
      <c r="J13" s="5" t="inlineStr">
        <is>
          <t>Sim</t>
        </is>
      </c>
      <c r="K13" s="5" t="inlineStr">
        <is>
          <t>2026-04-06</t>
        </is>
      </c>
      <c r="L13" s="5" t="inlineStr">
        <is>
          <t>Não</t>
        </is>
      </c>
      <c r="M13" s="5" t="inlineStr">
        <is>
          <t>contido</t>
        </is>
      </c>
      <c r="N13" s="5" t="inlineStr">
        <is>
          <t>Ana Ferreira</t>
        </is>
      </c>
      <c r="O13" s="5" t="n">
        <v>36</v>
      </c>
      <c r="P13" s="5" t="inlineStr">
        <is>
          <t>Segmentação insuficiente entre rede sede e subsidiária</t>
        </is>
      </c>
      <c r="Q13" s="5" t="inlineStr">
        <is>
          <t>Revisão arquitectura rede; zero-trust entre entidades do grupo</t>
        </is>
      </c>
      <c r="R13" s="5" t="inlineStr">
        <is>
          <t>140000</t>
        </is>
      </c>
    </row>
    <row r="14" ht="18" customHeight="1">
      <c r="A14" s="6" t="inlineStr">
        <is>
          <t>INC-2026-012</t>
        </is>
      </c>
      <c r="B14" s="6" t="inlineStr">
        <is>
          <t>2026-04-08</t>
        </is>
      </c>
      <c r="C14" s="6" t="inlineStr">
        <is>
          <t>2026-04-08</t>
        </is>
      </c>
      <c r="D14" s="6" t="inlineStr">
        <is>
          <t>Flooding SMTP — 50.000 emails spam enviados a partir de conta comprometida</t>
        </is>
      </c>
      <c r="E14" s="6" t="inlineStr">
        <is>
          <t>outro</t>
        </is>
      </c>
      <c r="F14" s="6" t="inlineStr">
        <is>
          <t>médio</t>
        </is>
      </c>
      <c r="G14" s="6" t="inlineStr">
        <is>
          <t>Exchange Online — SMTP relay</t>
        </is>
      </c>
      <c r="H14" s="6" t="inlineStr">
        <is>
          <t>Credential compromise + SMTP relay aberto</t>
        </is>
      </c>
      <c r="I14" s="6" t="inlineStr">
        <is>
          <t>C:2 I:1 A:2 DP:Não</t>
        </is>
      </c>
      <c r="J14" s="6" t="inlineStr">
        <is>
          <t>Não</t>
        </is>
      </c>
      <c r="K14" s="6" t="inlineStr"/>
      <c r="L14" s="6" t="inlineStr">
        <is>
          <t>Não</t>
        </is>
      </c>
      <c r="M14" s="6" t="inlineStr">
        <is>
          <t>erradicado</t>
        </is>
      </c>
      <c r="N14" s="6" t="inlineStr">
        <is>
          <t>Carlos Silva</t>
        </is>
      </c>
      <c r="O14" s="6" t="n">
        <v>5</v>
      </c>
      <c r="P14" s="6" t="inlineStr">
        <is>
          <t>SMTP relay sem autenticação reforçada</t>
        </is>
      </c>
      <c r="Q14" s="6" t="inlineStr">
        <is>
          <t>Desativar SMTP relay legacy; MFA obrigatório; alerta volume envio</t>
        </is>
      </c>
      <c r="R14" s="6" t="inlineStr">
        <is>
          <t>1200</t>
        </is>
      </c>
    </row>
    <row r="15" ht="18" customHeight="1">
      <c r="A15" s="5" t="inlineStr">
        <is>
          <t>INC-2026-013</t>
        </is>
      </c>
      <c r="B15" s="5" t="inlineStr">
        <is>
          <t>2026-04-10</t>
        </is>
      </c>
      <c r="C15" s="5" t="inlineStr">
        <is>
          <t>2026-04-10</t>
        </is>
      </c>
      <c r="D15" s="5" t="inlineStr">
        <is>
          <t>Vulnerabilidade crítica CVE-2024-21413 — Office — explorada em campanha phishing</t>
        </is>
      </c>
      <c r="E15" s="5" t="inlineStr">
        <is>
          <t>malware</t>
        </is>
      </c>
      <c r="F15" s="5" t="inlineStr">
        <is>
          <t>alto</t>
        </is>
      </c>
      <c r="G15" s="5" t="inlineStr">
        <is>
          <t>Workstations — Microsoft Office</t>
        </is>
      </c>
      <c r="H15" s="5" t="inlineStr">
        <is>
          <t>Phishing com exploit Office</t>
        </is>
      </c>
      <c r="I15" s="5" t="inlineStr">
        <is>
          <t>C:3 I:2 A:1 DP:Não</t>
        </is>
      </c>
      <c r="J15" s="5" t="inlineStr">
        <is>
          <t>Sim</t>
        </is>
      </c>
      <c r="K15" s="5" t="inlineStr">
        <is>
          <t>2026-04-11</t>
        </is>
      </c>
      <c r="L15" s="5" t="inlineStr">
        <is>
          <t>Não</t>
        </is>
      </c>
      <c r="M15" s="5" t="inlineStr">
        <is>
          <t>erradicado</t>
        </is>
      </c>
      <c r="N15" s="5" t="inlineStr">
        <is>
          <t>Dora Mendes</t>
        </is>
      </c>
      <c r="O15" s="5" t="n">
        <v>18</v>
      </c>
      <c r="P15" s="5" t="inlineStr">
        <is>
          <t>Atraso na aplicação de patches críticos</t>
        </is>
      </c>
      <c r="Q15" s="5" t="inlineStr">
        <is>
          <t>Patch SLA: crítico &lt;24h; alto &lt;72h; WSUS enforcement</t>
        </is>
      </c>
      <c r="R15" s="5" t="inlineStr">
        <is>
          <t>8500</t>
        </is>
      </c>
    </row>
    <row r="16" ht="18" customHeight="1">
      <c r="A16" s="6" t="inlineStr">
        <is>
          <t>INC-2026-014</t>
        </is>
      </c>
      <c r="B16" s="6" t="inlineStr">
        <is>
          <t>2026-04-12</t>
        </is>
      </c>
      <c r="C16" s="6" t="inlineStr">
        <is>
          <t>2026-04-11</t>
        </is>
      </c>
      <c r="D16" s="6" t="inlineStr">
        <is>
          <t>Acesso não autorizado API partner — token JWT não revogado após offboarding</t>
        </is>
      </c>
      <c r="E16" s="6" t="inlineStr">
        <is>
          <t>intrusão</t>
        </is>
      </c>
      <c r="F16" s="6" t="inlineStr">
        <is>
          <t>médio</t>
        </is>
      </c>
      <c r="G16" s="6" t="inlineStr">
        <is>
          <t>API parceiros — produção</t>
        </is>
      </c>
      <c r="H16" s="6" t="inlineStr">
        <is>
          <t>Token JWT sem expiração forçada</t>
        </is>
      </c>
      <c r="I16" s="6" t="inlineStr">
        <is>
          <t>C:3 I:2 A:1 DP:Não</t>
        </is>
      </c>
      <c r="J16" s="6" t="inlineStr">
        <is>
          <t>Não</t>
        </is>
      </c>
      <c r="K16" s="6" t="inlineStr"/>
      <c r="L16" s="6" t="inlineStr">
        <is>
          <t>Não</t>
        </is>
      </c>
      <c r="M16" s="6" t="inlineStr">
        <is>
          <t>recuperado</t>
        </is>
      </c>
      <c r="N16" s="6" t="inlineStr">
        <is>
          <t>Bruno Carvalho</t>
        </is>
      </c>
      <c r="O16" s="6" t="n">
        <v>6</v>
      </c>
      <c r="P16" s="6" t="inlineStr">
        <is>
          <t>Ausência de TTL obrigatório em tokens JWT e processo offboarding parceiros</t>
        </is>
      </c>
      <c r="Q16" s="6" t="inlineStr">
        <is>
          <t>Token rotation automática; offboarding checklist parceiros</t>
        </is>
      </c>
      <c r="R16" s="6" t="inlineStr">
        <is>
          <t>3200</t>
        </is>
      </c>
    </row>
    <row r="17" ht="18" customHeight="1">
      <c r="A17" s="5" t="inlineStr">
        <is>
          <t>INC-2026-015</t>
        </is>
      </c>
      <c r="B17" s="5" t="inlineStr">
        <is>
          <t>2026-04-14</t>
        </is>
      </c>
      <c r="C17" s="5" t="inlineStr">
        <is>
          <t>2026-04-14</t>
        </is>
      </c>
      <c r="D17" s="5" t="inlineStr">
        <is>
          <t>Phishing massivo — 450 colaboradores visados, 12 clicaram, 2 submeteram credenciais</t>
        </is>
      </c>
      <c r="E17" s="5" t="inlineStr">
        <is>
          <t>phishing</t>
        </is>
      </c>
      <c r="F17" s="5" t="inlineStr">
        <is>
          <t>alto</t>
        </is>
      </c>
      <c r="G17" s="5" t="inlineStr">
        <is>
          <t>Email corporativo</t>
        </is>
      </c>
      <c r="H17" s="5" t="inlineStr">
        <is>
          <t>Phishing kit imitação Microsoft 365</t>
        </is>
      </c>
      <c r="I17" s="5" t="inlineStr">
        <is>
          <t>C:3 I:1 A:1 DP:Não</t>
        </is>
      </c>
      <c r="J17" s="5" t="inlineStr">
        <is>
          <t>Não</t>
        </is>
      </c>
      <c r="K17" s="5" t="inlineStr"/>
      <c r="L17" s="5" t="inlineStr">
        <is>
          <t>Não</t>
        </is>
      </c>
      <c r="M17" s="5" t="inlineStr">
        <is>
          <t>aberto</t>
        </is>
      </c>
      <c r="N17" s="5" t="inlineStr">
        <is>
          <t>Ana Ferreira</t>
        </is>
      </c>
      <c r="O17" s="5" t="n">
        <v>0</v>
      </c>
      <c r="P17" s="5" t="inlineStr">
        <is>
          <t>Baixa maturidade anti-phishing colaboradores</t>
        </is>
      </c>
      <c r="Q17" s="5" t="inlineStr">
        <is>
          <t>Simulação phishing mensal; treino obrigatório recorrentes</t>
        </is>
      </c>
      <c r="R17" s="5" t="inlineStr">
        <is>
          <t>2100</t>
        </is>
      </c>
    </row>
    <row r="18" ht="18" customHeight="1">
      <c r="A18" s="6" t="inlineStr">
        <is>
          <t>INC-2026-016</t>
        </is>
      </c>
      <c r="B18" s="6" t="inlineStr">
        <is>
          <t>2026-04-15</t>
        </is>
      </c>
      <c r="C18" s="6" t="inlineStr">
        <is>
          <t>2026-04-14</t>
        </is>
      </c>
      <c r="D18" s="6" t="inlineStr">
        <is>
          <t>Anomalia tráfego outbound suspeito de servidor BD — investigação em curso</t>
        </is>
      </c>
      <c r="E18" s="6" t="inlineStr">
        <is>
          <t>malware</t>
        </is>
      </c>
      <c r="F18" s="6" t="inlineStr">
        <is>
          <t>alto</t>
        </is>
      </c>
      <c r="G18" s="6" t="inlineStr">
        <is>
          <t>Servidor BD-PROD-02</t>
        </is>
      </c>
      <c r="H18" s="6" t="inlineStr">
        <is>
          <t>Suspeita de C2 callback</t>
        </is>
      </c>
      <c r="I18" s="6" t="inlineStr">
        <is>
          <t>C:4 I:2 A:2 DP:Sim</t>
        </is>
      </c>
      <c r="J18" s="6" t="inlineStr">
        <is>
          <t>Sim</t>
        </is>
      </c>
      <c r="K18" s="6" t="inlineStr">
        <is>
          <t>2026-04-16</t>
        </is>
      </c>
      <c r="L18" s="6" t="inlineStr">
        <is>
          <t>Sim</t>
        </is>
      </c>
      <c r="M18" s="6" t="inlineStr">
        <is>
          <t>aberto</t>
        </is>
      </c>
      <c r="N18" s="6" t="inlineStr">
        <is>
          <t>Carlos Silva</t>
        </is>
      </c>
      <c r="O18" s="6" t="n">
        <v>0</v>
      </c>
      <c r="P18" s="6" t="inlineStr">
        <is>
          <t>Em investigação</t>
        </is>
      </c>
      <c r="Q18" s="6" t="inlineStr">
        <is>
          <t>Em investigação</t>
        </is>
      </c>
      <c r="R18" s="6" t="inlineStr"/>
    </row>
    <row r="19" ht="18" customHeight="1">
      <c r="A19" s="5" t="inlineStr">
        <is>
          <t>INC-2026-017</t>
        </is>
      </c>
      <c r="B19" s="5" t="inlineStr">
        <is>
          <t>2026-02-28</t>
        </is>
      </c>
      <c r="C19" s="5" t="inlineStr">
        <is>
          <t>2026-02-27</t>
        </is>
      </c>
      <c r="D19" s="5" t="inlineStr">
        <is>
          <t>Falha backup — 48h sem backup válido de BD produção</t>
        </is>
      </c>
      <c r="E19" s="5" t="inlineStr">
        <is>
          <t>outro</t>
        </is>
      </c>
      <c r="F19" s="5" t="inlineStr">
        <is>
          <t>médio</t>
        </is>
      </c>
      <c r="G19" s="5" t="inlineStr">
        <is>
          <t>Sistema backup Veeam</t>
        </is>
      </c>
      <c r="H19" s="5" t="inlineStr">
        <is>
          <t>Erro configuração retenção</t>
        </is>
      </c>
      <c r="I19" s="5" t="inlineStr">
        <is>
          <t>C:1 I:2 A:3 DP:Não</t>
        </is>
      </c>
      <c r="J19" s="5" t="inlineStr">
        <is>
          <t>Não</t>
        </is>
      </c>
      <c r="K19" s="5" t="inlineStr"/>
      <c r="L19" s="5" t="inlineStr">
        <is>
          <t>Não</t>
        </is>
      </c>
      <c r="M19" s="5" t="inlineStr">
        <is>
          <t>fechado</t>
        </is>
      </c>
      <c r="N19" s="5" t="inlineStr">
        <is>
          <t>Bruno Carvalho</t>
        </is>
      </c>
      <c r="O19" s="5" t="n">
        <v>4</v>
      </c>
      <c r="P19" s="5" t="inlineStr">
        <is>
          <t>Falta de monitorização activa de jobs de backup</t>
        </is>
      </c>
      <c r="Q19" s="5" t="inlineStr">
        <is>
          <t>Alertas imediatos falha backup; verificação diária automatizada</t>
        </is>
      </c>
      <c r="R19" s="5" t="inlineStr">
        <is>
          <t>0</t>
        </is>
      </c>
    </row>
    <row r="20" ht="18" customHeight="1">
      <c r="A20" s="6" t="inlineStr">
        <is>
          <t>INC-2026-018</t>
        </is>
      </c>
      <c r="B20" s="6" t="inlineStr">
        <is>
          <t>2026-03-05</t>
        </is>
      </c>
      <c r="C20" s="6" t="inlineStr">
        <is>
          <t>2026-03-05</t>
        </is>
      </c>
      <c r="D20" s="6" t="inlineStr">
        <is>
          <t>Tentativa de brute force SSH em servidor Linux de desenvolvimento</t>
        </is>
      </c>
      <c r="E20" s="6" t="inlineStr">
        <is>
          <t>intrusão</t>
        </is>
      </c>
      <c r="F20" s="6" t="inlineStr">
        <is>
          <t>baixo</t>
        </is>
      </c>
      <c r="G20" s="6" t="inlineStr">
        <is>
          <t>Servidor DEV-LNX-01</t>
        </is>
      </c>
      <c r="H20" s="6" t="inlineStr">
        <is>
          <t>Brute force automatizado</t>
        </is>
      </c>
      <c r="I20" s="6" t="inlineStr">
        <is>
          <t>C:1 I:1 A:1 DP:Não</t>
        </is>
      </c>
      <c r="J20" s="6" t="inlineStr">
        <is>
          <t>Não</t>
        </is>
      </c>
      <c r="K20" s="6" t="inlineStr"/>
      <c r="L20" s="6" t="inlineStr">
        <is>
          <t>Não</t>
        </is>
      </c>
      <c r="M20" s="6" t="inlineStr">
        <is>
          <t>fechado</t>
        </is>
      </c>
      <c r="N20" s="6" t="inlineStr">
        <is>
          <t>Dora Mendes</t>
        </is>
      </c>
      <c r="O20" s="6" t="n">
        <v>1</v>
      </c>
      <c r="P20" s="6" t="inlineStr">
        <is>
          <t>Porta SSH exposta à Internet</t>
        </is>
      </c>
      <c r="Q20" s="6" t="inlineStr">
        <is>
          <t>Mover SSH para VPN only; fail2ban configurado; chave pública obrigatória</t>
        </is>
      </c>
      <c r="R20" s="6" t="inlineStr">
        <is>
          <t>100</t>
        </is>
      </c>
    </row>
    <row r="21" ht="18" customHeight="1">
      <c r="A21" s="5" t="inlineStr">
        <is>
          <t>INC-2026-019</t>
        </is>
      </c>
      <c r="B21" s="5" t="inlineStr">
        <is>
          <t>2026-03-28</t>
        </is>
      </c>
      <c r="C21" s="5" t="inlineStr">
        <is>
          <t>2026-03-28</t>
        </is>
      </c>
      <c r="D21" s="5" t="inlineStr">
        <is>
          <t>Indisponibilidade Azure AD — 3h — impacto em autenticação de 280 utilizadores</t>
        </is>
      </c>
      <c r="E21" s="5" t="inlineStr">
        <is>
          <t>outro</t>
        </is>
      </c>
      <c r="F21" s="5" t="inlineStr">
        <is>
          <t>alto</t>
        </is>
      </c>
      <c r="G21" s="5" t="inlineStr">
        <is>
          <t>Azure AD — Microsoft 365</t>
        </is>
      </c>
      <c r="H21" s="5" t="inlineStr">
        <is>
          <t>Incidente fornecedor Microsoft</t>
        </is>
      </c>
      <c r="I21" s="5" t="inlineStr">
        <is>
          <t>C:1 I:1 A:4 DP:Não</t>
        </is>
      </c>
      <c r="J21" s="5" t="inlineStr">
        <is>
          <t>Não</t>
        </is>
      </c>
      <c r="K21" s="5" t="inlineStr"/>
      <c r="L21" s="5" t="inlineStr">
        <is>
          <t>Não</t>
        </is>
      </c>
      <c r="M21" s="5" t="inlineStr">
        <is>
          <t>fechado</t>
        </is>
      </c>
      <c r="N21" s="5" t="inlineStr">
        <is>
          <t>Carlos Silva</t>
        </is>
      </c>
      <c r="O21" s="5" t="n">
        <v>3</v>
      </c>
      <c r="P21" s="5" t="inlineStr">
        <is>
          <t>Dependência total de IdP cloud sem fallback</t>
        </is>
      </c>
      <c r="Q21" s="5" t="inlineStr">
        <is>
          <t>Avaliar federated IdP local como fallback; SLA Microsoft review</t>
        </is>
      </c>
      <c r="R21" s="5" t="inlineStr">
        <is>
          <t>4800</t>
        </is>
      </c>
    </row>
    <row r="22" ht="18" customHeight="1">
      <c r="A22" s="6" t="inlineStr">
        <is>
          <t>INC-2026-020</t>
        </is>
      </c>
      <c r="B22" s="6" t="inlineStr">
        <is>
          <t>2026-04-16</t>
        </is>
      </c>
      <c r="C22" s="6" t="inlineStr">
        <is>
          <t>2026-04-15</t>
        </is>
      </c>
      <c r="D22" s="6" t="inlineStr">
        <is>
          <t>Scan externo agressivo — 15.000 tentativas/min contra perímetro</t>
        </is>
      </c>
      <c r="E22" s="6" t="inlineStr">
        <is>
          <t>intrusão</t>
        </is>
      </c>
      <c r="F22" s="6" t="inlineStr">
        <is>
          <t>baixo</t>
        </is>
      </c>
      <c r="G22" s="6" t="inlineStr">
        <is>
          <t>Firewall perimetral — Palo Alto</t>
        </is>
      </c>
      <c r="H22" s="6" t="inlineStr">
        <is>
          <t>Scan automatizado externo</t>
        </is>
      </c>
      <c r="I22" s="6" t="inlineStr">
        <is>
          <t>C:1 I:1 A:1 DP:Não</t>
        </is>
      </c>
      <c r="J22" s="6" t="inlineStr">
        <is>
          <t>Não</t>
        </is>
      </c>
      <c r="K22" s="6" t="inlineStr"/>
      <c r="L22" s="6" t="inlineStr">
        <is>
          <t>Não</t>
        </is>
      </c>
      <c r="M22" s="6" t="inlineStr">
        <is>
          <t>aberto</t>
        </is>
      </c>
      <c r="N22" s="6" t="inlineStr">
        <is>
          <t>Bruno Carvalho</t>
        </is>
      </c>
      <c r="O22" s="6" t="n">
        <v>0</v>
      </c>
      <c r="P22" s="6" t="inlineStr"/>
      <c r="Q22" s="6" t="inlineStr"/>
      <c r="R22" s="6" t="inlineStr"/>
    </row>
  </sheetData>
  <mergeCells count="1">
    <mergeCell ref="A1:R1"/>
  </mergeCells>
  <conditionalFormatting sqref="F3:F22">
    <cfRule type="cellIs" priority="1" operator="equal" dxfId="0">
      <formula>"crítico"</formula>
    </cfRule>
    <cfRule type="cellIs" priority="2" operator="equal" dxfId="1">
      <formula>"alto"</formula>
    </cfRule>
    <cfRule type="cellIs" priority="3" operator="equal" dxfId="2">
      <formula>"médio"</formula>
    </cfRule>
    <cfRule type="cellIs" priority="4" operator="equal" dxfId="3">
      <formula>"baixo"</formula>
    </cfRule>
  </conditionalFormatting>
  <conditionalFormatting sqref="M3:M22">
    <cfRule type="cellIs" priority="5" operator="equal" dxfId="3">
      <formula>"fechado"</formula>
    </cfRule>
    <cfRule type="cellIs" priority="6" operator="equal" dxfId="0">
      <formula>"aberto"</formula>
    </cfRule>
    <cfRule type="cellIs" priority="7" operator="equal" dxfId="1">
      <formula>"contido"</formula>
    </cfRule>
    <cfRule type="cellIs" priority="8" operator="equal" dxfId="2">
      <formula>"erradicado"</formula>
    </cfRule>
  </conditionalFormatting>
  <dataValidations count="5">
    <dataValidation sqref="E3:E22" showDropDown="0" showInputMessage="0" showErrorMessage="1" allowBlank="1" errorTitle="Valor inválido" error="Selecione: malware,intrusão,DDoS,phishing,insider,supply-chain,outro" type="list">
      <formula1>"malware,intrusão,DDoS,phishing,insider,supply-chain,outro"</formula1>
    </dataValidation>
    <dataValidation sqref="F3:F22" showDropDown="0" showInputMessage="0" showErrorMessage="1" allowBlank="1" errorTitle="Valor inválido" error="Selecione: crítico,alto,médio,baixo" type="list">
      <formula1>"crítico,alto,médio,baixo"</formula1>
    </dataValidation>
    <dataValidation sqref="J3:J22" showDropDown="0" showInputMessage="0" showErrorMessage="1" allowBlank="1" errorTitle="Valor inválido" error="Selecione: Sim,Não,Pendente" type="list">
      <formula1>"Sim,Não,Pendente"</formula1>
    </dataValidation>
    <dataValidation sqref="L3:L22" showDropDown="0" showInputMessage="0" showErrorMessage="1" allowBlank="1" errorTitle="Valor inválido" error="Selecione: Sim,Não,N/A" type="list">
      <formula1>"Sim,Não,N/A"</formula1>
    </dataValidation>
    <dataValidation sqref="M3:M22" showDropDown="0" showInputMessage="0" showErrorMessage="1" allowBlank="1" errorTitle="Valor inválido" error="Selecione: aberto,contido,erradicado,recuperado,fechado" type="list">
      <formula1>"aberto,contido,erradicado,recuperado,fechado"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6" customWidth="1" min="4" max="4"/>
  </cols>
  <sheetData>
    <row r="1" ht="34" customHeight="1">
      <c r="A1" s="1" t="inlineStr">
        <is>
          <t>KPIs de Gestão de Incidentes NIS2 — Resumo Executivo</t>
        </is>
      </c>
    </row>
    <row r="2">
      <c r="A2" s="7" t="inlineStr">
        <is>
          <t>INDICADOR</t>
        </is>
      </c>
      <c r="B2" s="7" t="inlineStr">
        <is>
          <t>VALOR</t>
        </is>
      </c>
      <c r="C2" s="7" t="inlineStr">
        <is>
          <t>CATEGORIA</t>
        </is>
      </c>
      <c r="D2" s="7" t="inlineStr">
        <is>
          <t>CONTAGEM</t>
        </is>
      </c>
    </row>
    <row r="3">
      <c r="A3" s="8" t="inlineStr">
        <is>
          <t>Total incidentes registados</t>
        </is>
      </c>
      <c r="B3" s="9">
        <f>COUNTA(Incidentes!A3:A1000)-COUNTIF(Incidentes!A3:A1000,"")</f>
        <v/>
      </c>
      <c r="C3" s="8" t="inlineStr">
        <is>
          <t>malware</t>
        </is>
      </c>
      <c r="D3" s="9">
        <f>COUNTIF(Incidentes!E:E,"malware")</f>
        <v/>
      </c>
    </row>
    <row r="4">
      <c r="A4" s="8" t="inlineStr">
        <is>
          <t>Incidentes críticos</t>
        </is>
      </c>
      <c r="B4" s="9">
        <f>COUNTIF(Incidentes!F:F,"crítico")</f>
        <v/>
      </c>
      <c r="C4" s="8" t="inlineStr">
        <is>
          <t>intrusão</t>
        </is>
      </c>
      <c r="D4" s="9">
        <f>COUNTIF(Incidentes!E:E,"intrusão")</f>
        <v/>
      </c>
    </row>
    <row r="5">
      <c r="A5" s="8" t="inlineStr">
        <is>
          <t>Incidentes altos</t>
        </is>
      </c>
      <c r="B5" s="9">
        <f>COUNTIF(Incidentes!F:F,"alto")</f>
        <v/>
      </c>
      <c r="C5" s="8" t="inlineStr">
        <is>
          <t>DDoS</t>
        </is>
      </c>
      <c r="D5" s="9">
        <f>COUNTIF(Incidentes!E:E,"DDoS")</f>
        <v/>
      </c>
    </row>
    <row r="6">
      <c r="A6" s="8" t="inlineStr">
        <is>
          <t>Incidentes médios</t>
        </is>
      </c>
      <c r="B6" s="9">
        <f>COUNTIF(Incidentes!F:F,"médio")</f>
        <v/>
      </c>
      <c r="C6" s="8" t="inlineStr">
        <is>
          <t>phishing</t>
        </is>
      </c>
      <c r="D6" s="9">
        <f>COUNTIF(Incidentes!E:E,"phishing")</f>
        <v/>
      </c>
    </row>
    <row r="7">
      <c r="A7" s="8" t="inlineStr">
        <is>
          <t>Incidentes baixos</t>
        </is>
      </c>
      <c r="B7" s="9">
        <f>COUNTIF(Incidentes!F:F,"baixo")</f>
        <v/>
      </c>
      <c r="C7" s="8" t="inlineStr">
        <is>
          <t>insider</t>
        </is>
      </c>
      <c r="D7" s="9">
        <f>COUNTIF(Incidentes!E:E,"insider")</f>
        <v/>
      </c>
    </row>
    <row r="8">
      <c r="A8" s="8" t="inlineStr">
        <is>
          <t>Incidentes abertos</t>
        </is>
      </c>
      <c r="B8" s="9">
        <f>COUNTIF(Incidentes!M:M,"aberto")</f>
        <v/>
      </c>
      <c r="C8" s="8" t="inlineStr">
        <is>
          <t>supply-chain</t>
        </is>
      </c>
      <c r="D8" s="9">
        <f>COUNTIF(Incidentes!E:E,"supply-chain")</f>
        <v/>
      </c>
    </row>
    <row r="9">
      <c r="A9" s="8" t="inlineStr">
        <is>
          <t>Incidentes fechados</t>
        </is>
      </c>
      <c r="B9" s="9">
        <f>COUNTIF(Incidentes!M:M,"fechado")</f>
        <v/>
      </c>
      <c r="C9" s="8" t="inlineStr">
        <is>
          <t>outro</t>
        </is>
      </c>
      <c r="D9" s="9">
        <f>COUNTIF(Incidentes!E:E,"outro")</f>
        <v/>
      </c>
    </row>
    <row r="10">
      <c r="A10" s="8" t="inlineStr">
        <is>
          <t>Notificações CNCS efetuadas</t>
        </is>
      </c>
      <c r="B10" s="9">
        <f>COUNTIF(Incidentes!J:J,"Sim")</f>
        <v/>
      </c>
    </row>
    <row r="11">
      <c r="A11" s="8" t="inlineStr">
        <is>
          <t>Notificações CNPD efetuadas</t>
        </is>
      </c>
      <c r="B11" s="9">
        <f>COUNTIF(Incidentes!L:L,"Sim")</f>
        <v/>
      </c>
    </row>
    <row r="12">
      <c r="A12" s="8" t="inlineStr">
        <is>
          <t>MTTR médio (horas)</t>
        </is>
      </c>
      <c r="B12" s="9">
        <f>IFERROR(AVERAGEIF(Incidentes!O3:O1000,"&lt;&gt;",""),0)</f>
        <v/>
      </c>
    </row>
    <row r="13">
      <c r="A13" s="8" t="inlineStr">
        <is>
          <t>Custo estimado total (€)</t>
        </is>
      </c>
      <c r="B13" s="9">
        <f>IFERROR(SUM(Incidentes!R3:R1000),0)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 ht="34" customHeight="1">
      <c r="A1" s="1" t="inlineStr">
        <is>
          <t>Tracker de Notificações NIS2 — Prazos e Estado de Cumprimento</t>
        </is>
      </c>
    </row>
    <row r="2" ht="26" customHeight="1">
      <c r="A2" s="4" t="inlineStr">
        <is>
          <t>ID Incidente</t>
        </is>
      </c>
      <c r="B2" s="4" t="inlineStr">
        <is>
          <t>Data Detecção</t>
        </is>
      </c>
      <c r="C2" s="4" t="inlineStr">
        <is>
          <t>Prazo 24h (CNCS)</t>
        </is>
      </c>
      <c r="D2" s="4" t="inlineStr">
        <is>
          <t>Notif. 24h Efetuada</t>
        </is>
      </c>
      <c r="E2" s="4" t="inlineStr">
        <is>
          <t>Prazo 72h (CNCS)</t>
        </is>
      </c>
      <c r="F2" s="4" t="inlineStr">
        <is>
          <t>Notif. 72h Efetuada</t>
        </is>
      </c>
      <c r="G2" s="4" t="inlineStr">
        <is>
          <t>Prazo 30 dias</t>
        </is>
      </c>
      <c r="H2" s="4" t="inlineStr">
        <is>
          <t>Relatório Final</t>
        </is>
      </c>
    </row>
    <row r="3">
      <c r="A3" s="10" t="inlineStr">
        <is>
          <t>INC-2026-001</t>
        </is>
      </c>
      <c r="B3" s="10" t="inlineStr">
        <is>
          <t>2026-01-05</t>
        </is>
      </c>
      <c r="C3" s="11">
        <f>B3+1/24</f>
        <v/>
      </c>
      <c r="D3" s="10" t="inlineStr">
        <is>
          <t>Sim</t>
        </is>
      </c>
      <c r="E3" s="11">
        <f>B3+3/24</f>
        <v/>
      </c>
      <c r="F3" s="10" t="inlineStr">
        <is>
          <t>Sim</t>
        </is>
      </c>
      <c r="G3" s="11">
        <f>B3+30</f>
        <v/>
      </c>
      <c r="H3" s="10" t="inlineStr">
        <is>
          <t>Sim</t>
        </is>
      </c>
    </row>
    <row r="4">
      <c r="A4" s="12" t="inlineStr">
        <is>
          <t>INC-2026-002</t>
        </is>
      </c>
      <c r="B4" s="12" t="inlineStr">
        <is>
          <t>2026-01-18</t>
        </is>
      </c>
      <c r="C4" s="13">
        <f>B4+1/24</f>
        <v/>
      </c>
      <c r="D4" s="12" t="inlineStr">
        <is>
          <t>Sim</t>
        </is>
      </c>
      <c r="E4" s="13">
        <f>B4+3/24</f>
        <v/>
      </c>
      <c r="F4" s="12" t="inlineStr">
        <is>
          <t>Sim</t>
        </is>
      </c>
      <c r="G4" s="13">
        <f>B4+30</f>
        <v/>
      </c>
      <c r="H4" s="12" t="inlineStr">
        <is>
          <t>Sim</t>
        </is>
      </c>
    </row>
    <row r="5">
      <c r="A5" s="10" t="inlineStr">
        <is>
          <t>INC-2026-003</t>
        </is>
      </c>
      <c r="B5" s="10" t="inlineStr">
        <is>
          <t>2026-01-25</t>
        </is>
      </c>
      <c r="C5" s="11">
        <f>B5+1/24</f>
        <v/>
      </c>
      <c r="D5" s="10" t="inlineStr">
        <is>
          <t>Sim</t>
        </is>
      </c>
      <c r="E5" s="11">
        <f>B5+3/24</f>
        <v/>
      </c>
      <c r="F5" s="10" t="inlineStr">
        <is>
          <t>Sim</t>
        </is>
      </c>
      <c r="G5" s="11">
        <f>B5+30</f>
        <v/>
      </c>
      <c r="H5" s="10" t="inlineStr">
        <is>
          <t>Sim</t>
        </is>
      </c>
    </row>
    <row r="6">
      <c r="A6" s="12" t="inlineStr">
        <is>
          <t>INC-2026-004</t>
        </is>
      </c>
      <c r="B6" s="12" t="inlineStr">
        <is>
          <t>2026-02-02</t>
        </is>
      </c>
      <c r="C6" s="13">
        <f>B6+1/24</f>
        <v/>
      </c>
      <c r="D6" s="12" t="inlineStr">
        <is>
          <t>Sim</t>
        </is>
      </c>
      <c r="E6" s="13">
        <f>B6+3/24</f>
        <v/>
      </c>
      <c r="F6" s="12" t="inlineStr">
        <is>
          <t>Sim</t>
        </is>
      </c>
      <c r="G6" s="13">
        <f>B6+30</f>
        <v/>
      </c>
      <c r="H6" s="12" t="inlineStr">
        <is>
          <t>Sim</t>
        </is>
      </c>
    </row>
    <row r="7">
      <c r="A7" s="10" t="inlineStr">
        <is>
          <t>INC-2026-005</t>
        </is>
      </c>
      <c r="B7" s="10" t="inlineStr">
        <is>
          <t>2026-02-10</t>
        </is>
      </c>
      <c r="C7" s="11">
        <f>B7+1/24</f>
        <v/>
      </c>
      <c r="D7" s="10" t="inlineStr">
        <is>
          <t>Sim</t>
        </is>
      </c>
      <c r="E7" s="11">
        <f>B7+3/24</f>
        <v/>
      </c>
      <c r="F7" s="10" t="inlineStr">
        <is>
          <t>Sim</t>
        </is>
      </c>
      <c r="G7" s="11">
        <f>B7+30</f>
        <v/>
      </c>
      <c r="H7" s="10" t="inlineStr">
        <is>
          <t>Sim</t>
        </is>
      </c>
    </row>
    <row r="8">
      <c r="A8" s="12" t="inlineStr">
        <is>
          <t>INC-2026-006</t>
        </is>
      </c>
      <c r="B8" s="12" t="inlineStr">
        <is>
          <t>2026-02-20</t>
        </is>
      </c>
      <c r="C8" s="13">
        <f>B8+1/24</f>
        <v/>
      </c>
      <c r="D8" s="12" t="inlineStr">
        <is>
          <t>Sim</t>
        </is>
      </c>
      <c r="E8" s="13">
        <f>B8+3/24</f>
        <v/>
      </c>
      <c r="F8" s="12" t="inlineStr">
        <is>
          <t>Sim</t>
        </is>
      </c>
      <c r="G8" s="13">
        <f>B8+30</f>
        <v/>
      </c>
      <c r="H8" s="12" t="inlineStr">
        <is>
          <t>Sim</t>
        </is>
      </c>
    </row>
    <row r="9">
      <c r="A9" s="10" t="inlineStr">
        <is>
          <t>INC-2026-008</t>
        </is>
      </c>
      <c r="B9" s="10" t="inlineStr">
        <is>
          <t>2026-03-12</t>
        </is>
      </c>
      <c r="C9" s="11">
        <f>B9+1/24</f>
        <v/>
      </c>
      <c r="D9" s="10" t="inlineStr">
        <is>
          <t>Sim</t>
        </is>
      </c>
      <c r="E9" s="11">
        <f>B9+3/24</f>
        <v/>
      </c>
      <c r="F9" s="10" t="inlineStr">
        <is>
          <t>Sim</t>
        </is>
      </c>
      <c r="G9" s="11">
        <f>B9+30</f>
        <v/>
      </c>
      <c r="H9" s="10" t="inlineStr">
        <is>
          <t>Sim</t>
        </is>
      </c>
    </row>
    <row r="10">
      <c r="A10" s="12" t="inlineStr">
        <is>
          <t>INC-2026-011</t>
        </is>
      </c>
      <c r="B10" s="12" t="inlineStr">
        <is>
          <t>2026-04-05</t>
        </is>
      </c>
      <c r="C10" s="13">
        <f>B10+1/24</f>
        <v/>
      </c>
      <c r="D10" s="12" t="inlineStr">
        <is>
          <t>Sim</t>
        </is>
      </c>
      <c r="E10" s="13">
        <f>B10+3/24</f>
        <v/>
      </c>
      <c r="F10" s="12" t="inlineStr">
        <is>
          <t>Em curso</t>
        </is>
      </c>
      <c r="G10" s="13">
        <f>B10+30</f>
        <v/>
      </c>
      <c r="H10" s="12" t="inlineStr">
        <is>
          <t>Pendente</t>
        </is>
      </c>
    </row>
    <row r="11">
      <c r="A11" s="10" t="inlineStr">
        <is>
          <t>INC-2026-013</t>
        </is>
      </c>
      <c r="B11" s="10" t="inlineStr">
        <is>
          <t>2026-04-10</t>
        </is>
      </c>
      <c r="C11" s="11">
        <f>B11+1/24</f>
        <v/>
      </c>
      <c r="D11" s="10" t="inlineStr">
        <is>
          <t>Sim</t>
        </is>
      </c>
      <c r="E11" s="11">
        <f>B11+3/24</f>
        <v/>
      </c>
      <c r="F11" s="10" t="inlineStr">
        <is>
          <t>Sim</t>
        </is>
      </c>
      <c r="G11" s="11">
        <f>B11+30</f>
        <v/>
      </c>
      <c r="H11" s="10" t="inlineStr">
        <is>
          <t>Pendente</t>
        </is>
      </c>
    </row>
    <row r="12">
      <c r="A12" s="12" t="inlineStr">
        <is>
          <t>INC-2026-016</t>
        </is>
      </c>
      <c r="B12" s="12" t="inlineStr">
        <is>
          <t>2026-04-15</t>
        </is>
      </c>
      <c r="C12" s="13">
        <f>B12+1/24</f>
        <v/>
      </c>
      <c r="D12" s="12" t="inlineStr">
        <is>
          <t>Pendente</t>
        </is>
      </c>
      <c r="E12" s="13">
        <f>B12+3/24</f>
        <v/>
      </c>
      <c r="F12" s="12" t="inlineStr">
        <is>
          <t>Pendente</t>
        </is>
      </c>
      <c r="G12" s="13">
        <f>B12+30</f>
        <v/>
      </c>
      <c r="H12" s="12" t="inlineStr">
        <is>
          <t>Pendente</t>
        </is>
      </c>
    </row>
  </sheetData>
  <mergeCells count="1">
    <mergeCell ref="A1:H1"/>
  </mergeCells>
  <conditionalFormatting sqref="D3:D12">
    <cfRule type="cellIs" priority="1" operator="equal" dxfId="3">
      <formula>"Sim"</formula>
    </cfRule>
    <cfRule type="cellIs" priority="2" operator="equal" dxfId="0">
      <formula>"Pendente"</formula>
    </cfRule>
  </conditionalFormatting>
  <conditionalFormatting sqref="F3:F12">
    <cfRule type="cellIs" priority="3" operator="equal" dxfId="3">
      <formula>"Sim"</formula>
    </cfRule>
    <cfRule type="cellIs" priority="4" operator="equal" dxfId="0">
      <formula>"Pendente"</formula>
    </cfRule>
  </conditionalFormatting>
  <conditionalFormatting sqref="H3:H12">
    <cfRule type="cellIs" priority="5" operator="equal" dxfId="3">
      <formula>"Sim"</formula>
    </cfRule>
    <cfRule type="cellIs" priority="6" operator="equal" dxfId="0">
      <formula>"Pendente"</formula>
    </cfRule>
  </conditionalFormatting>
  <dataValidations count="3">
    <dataValidation sqref="D3:D20" showDropDown="0" showInputMessage="0" showErrorMessage="1" allowBlank="1" errorTitle="Valor inválido" error="Selecione: Sim,Não,Pendente,Em curso" type="list">
      <formula1>"Sim,Não,Pendente,Em curso"</formula1>
    </dataValidation>
    <dataValidation sqref="F3:F20" showDropDown="0" showInputMessage="0" showErrorMessage="1" allowBlank="1" errorTitle="Valor inválido" error="Selecione: Sim,Não,Pendente,Em curso" type="list">
      <formula1>"Sim,Não,Pendente,Em curso"</formula1>
    </dataValidation>
    <dataValidation sqref="H3:H20" showDropDown="0" showInputMessage="0" showErrorMessage="1" allowBlank="1" errorTitle="Valor inválido" error="Selecione: Sim,Não,Pendente,Em curso" type="list">
      <formula1>"Sim,Não,Pendente,Em curso"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2026-04-17T09:00:59Z</dcterms:created>
  <dcterms:modified xmlns:dcterms="http://purl.org/dc/terms/" xmlns:xsi="http://www.w3.org/2001/XMLSchema-instance" xsi:type="dcterms:W3CDTF">2026-04-17T09:00:59Z</dcterms:modified>
</cp:coreProperties>
</file>